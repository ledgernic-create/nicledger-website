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ow Prep" sheetId="1" state="visible" r:id="rId3"/>
  </sheets>
  <definedNames>
    <definedName function="false" hidden="false" localSheetId="0" name="_xlnm.Print_Titles" vbProcedure="false">'Show Prep'!$1:$4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<sst xmlns="http://schemas.openxmlformats.org/spreadsheetml/2006/main" count="321" uniqueCount="162">
  <si>
    <t xml:space="preserve">Chalke Valley Festival — Art Show Prep Checklist</t>
  </si>
  <si>
    <t xml:space="preserve">Nic Ledger  |  Show: June 2026  |  Generated 28 April 2026</t>
  </si>
  <si>
    <t xml:space="preserve">Category</t>
  </si>
  <si>
    <t xml:space="preserve">#</t>
  </si>
  <si>
    <t xml:space="preserve">Task</t>
  </si>
  <si>
    <t xml:space="preserve">Detail / Notes</t>
  </si>
  <si>
    <t xml:space="preserve">Deadline</t>
  </si>
  <si>
    <t xml:space="preserve">Status</t>
  </si>
  <si>
    <t xml:space="preserve">Est. Cost (£)</t>
  </si>
  <si>
    <t xml:space="preserve">Paintings — Where We Are From</t>
  </si>
  <si>
    <t xml:space="preserve">Final pass on each canvas</t>
  </si>
  <si>
    <t xml:space="preserve">Decide which pieces are 'show-ready'; finish weakest areas first.</t>
  </si>
  <si>
    <t xml:space="preserve">By 15 May</t>
  </si>
  <si>
    <t xml:space="preserve">Not started</t>
  </si>
  <si>
    <t xml:space="preserve">Sign &amp; date each piece</t>
  </si>
  <si>
    <t xml:space="preserve">Consistent placement; dated to year of completion.</t>
  </si>
  <si>
    <t xml:space="preserve">By 22 May</t>
  </si>
  <si>
    <t xml:space="preserve">Varnish</t>
  </si>
  <si>
    <t xml:space="preserve">Allow drying time — minimum 6 weeks oil cure before retouch varnish; check each canvas.</t>
  </si>
  <si>
    <t xml:space="preserve">By 25 May</t>
  </si>
  <si>
    <t xml:space="preserve">Frame / float-mount</t>
  </si>
  <si>
    <t xml:space="preserve">Decide framed vs unframed; keep style consistent across the series.</t>
  </si>
  <si>
    <t xml:space="preserve">By 1 June</t>
  </si>
  <si>
    <t xml:space="preserve">High-res photography</t>
  </si>
  <si>
    <t xml:space="preserve">For prints, archive, website, press. Daylight or polarised lighting; colour-checker card.</t>
  </si>
  <si>
    <t xml:space="preserve">By 10 May</t>
  </si>
  <si>
    <t xml:space="preserve">Title cards &amp; artist statement</t>
  </si>
  <si>
    <t xml:space="preserve">One short paragraph per piece; one overarching series statement.</t>
  </si>
  <si>
    <t xml:space="preserve">Pricing decisions</t>
  </si>
  <si>
    <t xml:space="preserve">Set originals pricing; record on inventory sheet.</t>
  </si>
  <si>
    <t xml:space="preserve">Religious Icon Paintings</t>
  </si>
  <si>
    <t xml:space="preserve">Complete each icon</t>
  </si>
  <si>
    <t xml:space="preserve">List which are show-bound; finish in priority order.</t>
  </si>
  <si>
    <t xml:space="preserve">By 20 May</t>
  </si>
  <si>
    <t xml:space="preserve">Gilding / final detailing</t>
  </si>
  <si>
    <t xml:space="preserve">Burnishing, halo work, edge treatment.</t>
  </si>
  <si>
    <t xml:space="preserve">Seal / varnish appropriately</t>
  </si>
  <si>
    <t xml:space="preserve">Different cure regime to the oils — note medium used.</t>
  </si>
  <si>
    <t xml:space="preserve">By 28 May</t>
  </si>
  <si>
    <t xml:space="preserve">Frame or present on board edges</t>
  </si>
  <si>
    <t xml:space="preserve">Decide whether icons are framed or shown raw on their boards.</t>
  </si>
  <si>
    <t xml:space="preserve">Photograph for prints &amp; archive</t>
  </si>
  <si>
    <t xml:space="preserve">Same shoot as the main series if possible.</t>
  </si>
  <si>
    <t xml:space="preserve">Pricing &amp; provenance notes</t>
  </si>
  <si>
    <t xml:space="preserve">Brief note on tradition / iconographic source for each piece.</t>
  </si>
  <si>
    <t xml:space="preserve">Prints</t>
  </si>
  <si>
    <t xml:space="preserve">Choose printer</t>
  </si>
  <si>
    <t xml:space="preserve">Compare giclée providers (theprintspace, Loxley, Whitewall, local); request sample.</t>
  </si>
  <si>
    <t xml:space="preserve">By 5 May</t>
  </si>
  <si>
    <t xml:space="preserve">Decide print sizes &amp; editions</t>
  </si>
  <si>
    <t xml:space="preserve">e.g. A4 open edition, A3 limited edition of 50; signed &amp; numbered.</t>
  </si>
  <si>
    <t xml:space="preserve">By 8 May</t>
  </si>
  <si>
    <t xml:space="preserve">Order test prints</t>
  </si>
  <si>
    <t xml:space="preserve">Always test before bulk run — colour, paper, weight.</t>
  </si>
  <si>
    <t xml:space="preserve">By 12 May</t>
  </si>
  <si>
    <t xml:space="preserve">Order full print run</t>
  </si>
  <si>
    <t xml:space="preserve">Allow 10 working days lead time; build in a buffer.</t>
  </si>
  <si>
    <t xml:space="preserve">Sign &amp; number limited editions</t>
  </si>
  <si>
    <t xml:space="preserve">Pencil; consistent placement; certificate of authenticity if relevant.</t>
  </si>
  <si>
    <t xml:space="preserve">By 5 June</t>
  </si>
  <si>
    <t xml:space="preserve">Cellophane sleeves &amp; backing boards</t>
  </si>
  <si>
    <t xml:space="preserve">Protects prints; lets buyers handle them safely.</t>
  </si>
  <si>
    <t xml:space="preserve">Print storage / browse box</t>
  </si>
  <si>
    <t xml:space="preserve">Hinged box or wire rack so customers can flip through.</t>
  </si>
  <si>
    <t xml:space="preserve">Tubes for sold rolled prints</t>
  </si>
  <si>
    <t xml:space="preserve">A few in each common size for transport.</t>
  </si>
  <si>
    <t xml:space="preserve">Stall &amp; Display</t>
  </si>
  <si>
    <t xml:space="preserve">Confirm stall pitch &amp; dimensions</t>
  </si>
  <si>
    <t xml:space="preserve">Get exact measurements from organisers; indoor vs outdoor; power?</t>
  </si>
  <si>
    <t xml:space="preserve">ASAP</t>
  </si>
  <si>
    <t xml:space="preserve">Backdrop / display walls</t>
  </si>
  <si>
    <t xml:space="preserve">Mesh panels, freestanding walls or pegboard; weight base for outdoor.</t>
  </si>
  <si>
    <t xml:space="preserve">Easels &amp; plinths for headline pieces</t>
  </si>
  <si>
    <t xml:space="preserve">1–2 hero pieces at eye level; everything else evenly hung.</t>
  </si>
  <si>
    <t xml:space="preserve">Lighting</t>
  </si>
  <si>
    <t xml:space="preserve">Battery-powered LED spots if no mains; warm white ~3000K.</t>
  </si>
  <si>
    <t xml:space="preserve">Tablecloth / drape</t>
  </si>
  <si>
    <t xml:space="preserve">Neutral linen; long enough to hide storage underneath.</t>
  </si>
  <si>
    <t xml:space="preserve">Banner / sign with name &amp; series title</t>
  </si>
  <si>
    <t xml:space="preserve">Readable from 10m. Match website branding.</t>
  </si>
  <si>
    <t xml:space="preserve">Artwork labels</t>
  </si>
  <si>
    <t xml:space="preserve">Title, year, medium, dimensions, price. Consistent template.</t>
  </si>
  <si>
    <t xml:space="preserve">Chair / stool</t>
  </si>
  <si>
    <t xml:space="preserve">Comfort over a long day.</t>
  </si>
  <si>
    <t xml:space="preserve">Weights / sandbags (if outdoor)</t>
  </si>
  <si>
    <t xml:space="preserve">Critical in wind; festivals are exposed.</t>
  </si>
  <si>
    <t xml:space="preserve">Pricing &amp; Sales Kit</t>
  </si>
  <si>
    <t xml:space="preserve">Card reader</t>
  </si>
  <si>
    <t xml:space="preserve">SumUp / Square / Zettle. Charged + spare battery pack.</t>
  </si>
  <si>
    <t xml:space="preserve">Cash float</t>
  </si>
  <si>
    <t xml:space="preserve">£100 in mixed change.</t>
  </si>
  <si>
    <t xml:space="preserve">Day before</t>
  </si>
  <si>
    <t xml:space="preserve">Inventory &amp; sales tracker</t>
  </si>
  <si>
    <t xml:space="preserve">One-page sheet; tick when sold; reconcile each evening.</t>
  </si>
  <si>
    <t xml:space="preserve">Receipt book</t>
  </si>
  <si>
    <t xml:space="preserve">Paper backup if card reader fails.</t>
  </si>
  <si>
    <t xml:space="preserve">Wrapping kit</t>
  </si>
  <si>
    <t xml:space="preserve">Tissue, branded tape, paper bags, ribbon.</t>
  </si>
  <si>
    <t xml:space="preserve">Provenance / certificate cards</t>
  </si>
  <si>
    <t xml:space="preserve">For sold originals &amp; limited prints.</t>
  </si>
  <si>
    <t xml:space="preserve">Marketing &amp; Promotion</t>
  </si>
  <si>
    <t xml:space="preserve">Business cards</t>
  </si>
  <si>
    <t xml:space="preserve">Match website; QR to portfolio. Order with buffer time.</t>
  </si>
  <si>
    <t xml:space="preserve">Postcards of headline works</t>
  </si>
  <si>
    <t xml:space="preserve">Free giveaway — keeps you in mind after the show.</t>
  </si>
  <si>
    <t xml:space="preserve">Mailing list signup</t>
  </si>
  <si>
    <t xml:space="preserve">Clipboard with sheet OR QR code to a form. GDPR-compliant wording.</t>
  </si>
  <si>
    <t xml:space="preserve">QR code to portfolio website</t>
  </si>
  <si>
    <t xml:space="preserve">Print large; visible on stall; test it actually scans.</t>
  </si>
  <si>
    <t xml:space="preserve">Social media announcement plan</t>
  </si>
  <si>
    <t xml:space="preserve">Teaser posts T-4w, T-2w, T-1w, day-before, on-the-day.</t>
  </si>
  <si>
    <t xml:space="preserve">Local press / newsletter outreach</t>
  </si>
  <si>
    <t xml:space="preserve">Shrewsbury &amp; Wiltshire local papers; festival's own programme.</t>
  </si>
  <si>
    <t xml:space="preserve">Domain &amp; website final pass</t>
  </si>
  <si>
    <t xml:space="preserve">Live domain (not placeholder); contact form working; mobile checked.</t>
  </si>
  <si>
    <t xml:space="preserve">Logistics &amp; Transport</t>
  </si>
  <si>
    <t xml:space="preserve">Pay stall fee / confirm booking</t>
  </si>
  <si>
    <t xml:space="preserve">Confirm in writing; keep receipt.</t>
  </si>
  <si>
    <t xml:space="preserve">Vehicle plan</t>
  </si>
  <si>
    <t xml:space="preserve">Will paintings + stall fit in your car? Hire van if not.</t>
  </si>
  <si>
    <t xml:space="preserve">Packing materials</t>
  </si>
  <si>
    <t xml:space="preserve">Foam corners, blankets, bubble wrap, glassine for prints.</t>
  </si>
  <si>
    <t xml:space="preserve">Transit / public liability insurance</t>
  </si>
  <si>
    <t xml:space="preserve">Many festivals require £5m PLI; check policy covers transit &amp; stall.</t>
  </si>
  <si>
    <t xml:space="preserve">Set-up / breakdown timings</t>
  </si>
  <si>
    <t xml:space="preserve">Get exact slot; arrive early on day 1.</t>
  </si>
  <si>
    <t xml:space="preserve">Accommodation</t>
  </si>
  <si>
    <t xml:space="preserve">If multi-day; book early — festival weekends sell out.</t>
  </si>
  <si>
    <t xml:space="preserve">Site map &amp; vehicle pass</t>
  </si>
  <si>
    <t xml:space="preserve">Print + save offline on phone; rural signal can be patchy.</t>
  </si>
  <si>
    <t xml:space="preserve">On-the-Day Kit</t>
  </si>
  <si>
    <t xml:space="preserve">Toolbox</t>
  </si>
  <si>
    <t xml:space="preserve">Hammer, picture hooks, gaffer tape, scissors, string, zip ties, screwdriver.</t>
  </si>
  <si>
    <t xml:space="preserve">First aid + plasters</t>
  </si>
  <si>
    <t xml:space="preserve">Hanging things will eventually nick a finger.</t>
  </si>
  <si>
    <t xml:space="preserve">Notebook &amp; pens</t>
  </si>
  <si>
    <t xml:space="preserve">For commission enquiries, contacts, ideas.</t>
  </si>
  <si>
    <t xml:space="preserve">Phone charger + battery pack</t>
  </si>
  <si>
    <t xml:space="preserve">Card reader + photos = phone dies fast.</t>
  </si>
  <si>
    <t xml:space="preserve">Lockable cash box</t>
  </si>
  <si>
    <t xml:space="preserve">Small but sturdy; under the table.</t>
  </si>
  <si>
    <t xml:space="preserve">Weather kit</t>
  </si>
  <si>
    <t xml:space="preserve">Sunscreen, hat, water bottle, layers, waterproof. June can be all four seasons.</t>
  </si>
  <si>
    <t xml:space="preserve">Food / snacks</t>
  </si>
  <si>
    <t xml:space="preserve">Easy to eat one-handed while talking to a customer.</t>
  </si>
  <si>
    <t xml:space="preserve">Post-Show</t>
  </si>
  <si>
    <t xml:space="preserve">Photograph the stall</t>
  </si>
  <si>
    <t xml:space="preserve">For website / next application. Take before customers arrive.</t>
  </si>
  <si>
    <t xml:space="preserve">Show day AM</t>
  </si>
  <si>
    <t xml:space="preserve">Reconcile sales &amp; stock</t>
  </si>
  <si>
    <t xml:space="preserve">Same evening, while memory is fresh.</t>
  </si>
  <si>
    <t xml:space="preserve">Show day PM</t>
  </si>
  <si>
    <t xml:space="preserve">Email mailing list</t>
  </si>
  <si>
    <t xml:space="preserve">Thank attendees; offer a small post-show print discount.</t>
  </si>
  <si>
    <t xml:space="preserve">Within 1 wk</t>
  </si>
  <si>
    <t xml:space="preserve">Thank-yous to organisers / press</t>
  </si>
  <si>
    <t xml:space="preserve">Builds the relationship for next year.</t>
  </si>
  <si>
    <t xml:space="preserve">Lessons learned doc</t>
  </si>
  <si>
    <t xml:space="preserve">What sold, what didn't, what to change for next show.</t>
  </si>
  <si>
    <t xml:space="preserve">Within 2 wks</t>
  </si>
  <si>
    <t xml:space="preserve">TOTAL EST. COST</t>
  </si>
  <si>
    <t xml:space="preserve">Progress: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</si>
</sst>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\£#,##0;[RED]&quot;-£&quot;#,##0;\-"/>
    <numFmt numFmtId="166" formatCode="\£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F3A5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b val="true"/>
      <sz val="11"/>
      <name val="Arial"/>
      <family val="0"/>
      <charset val="1"/>
    </font>
    <font>
      <b val="true"/>
      <sz val="11"/>
      <color rgb="FF1F3A5F"/>
      <name val="Arial"/>
      <family val="0"/>
      <charset val="1"/>
    </font>
    <font>
      <i val="true"/>
      <sz val="11"/>
      <color rgb="FF1F3A5F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3A5F"/>
        <bgColor rgb="FF333333"/>
      </patternFill>
    </fill>
    <fill>
      <patternFill patternType="solid">
        <fgColor rgb="FFFCE4D6"/>
        <bgColor rgb="FFFFF2CC"/>
      </patternFill>
    </fill>
    <fill>
      <patternFill patternType="solid">
        <fgColor rgb="FFE2EFDA"/>
        <bgColor rgb="FFEDEDED"/>
      </patternFill>
    </fill>
    <fill>
      <patternFill patternType="solid">
        <fgColor rgb="FFDDEBF7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EDEDED"/>
        <bgColor rgb="FFE2EFDA"/>
      </patternFill>
    </fill>
    <fill>
      <patternFill patternType="solid">
        <fgColor rgb="FFF4CCCC"/>
        <bgColor rgb="FFFFC7CE"/>
      </patternFill>
    </fill>
    <fill>
      <patternFill patternType="solid">
        <fgColor rgb="FFD9E1F2"/>
        <bgColor rgb="FFE4DFEC"/>
      </patternFill>
    </fill>
    <fill>
      <patternFill patternType="solid">
        <fgColor rgb="FFFFE699"/>
        <bgColor rgb="FFFFEB9C"/>
      </patternFill>
    </fill>
    <fill>
      <patternFill patternType="solid">
        <fgColor rgb="FFE4DFEC"/>
        <bgColor rgb="FFD9E1F2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3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4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4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5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6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7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8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9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10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7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11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5" fontId="8" fillId="11" borderId="1" xfId="0" applyFont="true" applyBorder="true" applyAlignment="true" applyProtection="false">
      <alignment horizontal="right" vertical="top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6" fontId="10" fillId="0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5700"/>
      </font>
      <fill>
        <patternFill>
          <bgColor rgb="FFFFEB9C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E699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EDEDED"/>
      <rgbColor rgb="FF993366"/>
      <rgbColor rgb="FFFFF2CC"/>
      <rgbColor rgb="FFDDEBF7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2EFDA"/>
      <rgbColor rgb="FFC6EFCE"/>
      <rgbColor rgb="FFFFEB9C"/>
      <rgbColor rgb="FFE4DFEC"/>
      <rgbColor rgb="FFFFC7CE"/>
      <rgbColor rgb="FFFCE4D6"/>
      <rgbColor rgb="FFF4CCCC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A5F"/>
      <rgbColor rgb="FF339966"/>
      <rgbColor rgb="FF003300"/>
      <rgbColor rgb="FF333300"/>
      <rgbColor rgb="FF9C57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G70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2"/>
    <col collapsed="false" customWidth="true" hidden="false" outlineLevel="0" max="2" min="2" style="0" width="5"/>
    <col collapsed="false" customWidth="true" hidden="false" outlineLevel="0" max="3" min="3" style="0" width="38"/>
    <col collapsed="false" customWidth="true" hidden="false" outlineLevel="0" max="4" min="4" style="0" width="60"/>
    <col collapsed="false" customWidth="true" hidden="false" outlineLevel="0" max="5" min="5" style="0" width="16"/>
    <col collapsed="false" customWidth="true" hidden="false" outlineLevel="0" max="7" min="6" style="0" width="14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  <c r="G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</row>
    <row r="4" customFormat="false" ht="25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customFormat="false" ht="15" hidden="false" customHeight="false" outlineLevel="0" collapsed="false">
      <c r="A5" s="4" t="s">
        <v>9</v>
      </c>
      <c r="B5" s="5" t="n">
        <v>1</v>
      </c>
      <c r="C5" s="6" t="s">
        <v>10</v>
      </c>
      <c r="D5" s="6" t="s">
        <v>11</v>
      </c>
      <c r="E5" s="5" t="s">
        <v>12</v>
      </c>
      <c r="F5" s="5" t="s">
        <v>13</v>
      </c>
      <c r="G5" s="7"/>
    </row>
    <row r="6" customFormat="false" ht="15" hidden="false" customHeight="false" outlineLevel="0" collapsed="false">
      <c r="A6" s="4" t="s">
        <v>9</v>
      </c>
      <c r="B6" s="5" t="n">
        <v>2</v>
      </c>
      <c r="C6" s="6" t="s">
        <v>14</v>
      </c>
      <c r="D6" s="6" t="s">
        <v>15</v>
      </c>
      <c r="E6" s="5" t="s">
        <v>16</v>
      </c>
      <c r="F6" s="5" t="s">
        <v>13</v>
      </c>
      <c r="G6" s="7"/>
    </row>
    <row r="7" customFormat="false" ht="23.85" hidden="false" customHeight="false" outlineLevel="0" collapsed="false">
      <c r="A7" s="4" t="s">
        <v>9</v>
      </c>
      <c r="B7" s="5" t="n">
        <v>3</v>
      </c>
      <c r="C7" s="6" t="s">
        <v>17</v>
      </c>
      <c r="D7" s="6" t="s">
        <v>18</v>
      </c>
      <c r="E7" s="5" t="s">
        <v>19</v>
      </c>
      <c r="F7" s="5" t="s">
        <v>13</v>
      </c>
      <c r="G7" s="7" t="n">
        <v>30</v>
      </c>
    </row>
    <row r="8" customFormat="false" ht="15" hidden="false" customHeight="false" outlineLevel="0" collapsed="false">
      <c r="A8" s="4" t="s">
        <v>9</v>
      </c>
      <c r="B8" s="5" t="n">
        <v>4</v>
      </c>
      <c r="C8" s="6" t="s">
        <v>20</v>
      </c>
      <c r="D8" s="6" t="s">
        <v>21</v>
      </c>
      <c r="E8" s="5" t="s">
        <v>22</v>
      </c>
      <c r="F8" s="5" t="s">
        <v>13</v>
      </c>
      <c r="G8" s="7" t="n">
        <v>400</v>
      </c>
    </row>
    <row r="9" customFormat="false" ht="23.85" hidden="false" customHeight="false" outlineLevel="0" collapsed="false">
      <c r="A9" s="4" t="s">
        <v>9</v>
      </c>
      <c r="B9" s="5" t="n">
        <v>5</v>
      </c>
      <c r="C9" s="6" t="s">
        <v>23</v>
      </c>
      <c r="D9" s="6" t="s">
        <v>24</v>
      </c>
      <c r="E9" s="5" t="s">
        <v>25</v>
      </c>
      <c r="F9" s="5" t="s">
        <v>13</v>
      </c>
      <c r="G9" s="7"/>
    </row>
    <row r="10" customFormat="false" ht="15" hidden="false" customHeight="false" outlineLevel="0" collapsed="false">
      <c r="A10" s="4" t="s">
        <v>9</v>
      </c>
      <c r="B10" s="5" t="n">
        <v>6</v>
      </c>
      <c r="C10" s="6" t="s">
        <v>26</v>
      </c>
      <c r="D10" s="6" t="s">
        <v>27</v>
      </c>
      <c r="E10" s="5" t="s">
        <v>19</v>
      </c>
      <c r="F10" s="5" t="s">
        <v>13</v>
      </c>
      <c r="G10" s="7" t="n">
        <v>20</v>
      </c>
    </row>
    <row r="11" customFormat="false" ht="15" hidden="false" customHeight="false" outlineLevel="0" collapsed="false">
      <c r="A11" s="4" t="s">
        <v>9</v>
      </c>
      <c r="B11" s="5" t="n">
        <v>7</v>
      </c>
      <c r="C11" s="6" t="s">
        <v>28</v>
      </c>
      <c r="D11" s="6" t="s">
        <v>29</v>
      </c>
      <c r="E11" s="5" t="s">
        <v>19</v>
      </c>
      <c r="F11" s="5" t="s">
        <v>13</v>
      </c>
      <c r="G11" s="7"/>
    </row>
    <row r="12" customFormat="false" ht="15" hidden="false" customHeight="false" outlineLevel="0" collapsed="false">
      <c r="A12" s="8" t="s">
        <v>30</v>
      </c>
      <c r="B12" s="9" t="n">
        <v>1</v>
      </c>
      <c r="C12" s="10" t="s">
        <v>31</v>
      </c>
      <c r="D12" s="10" t="s">
        <v>32</v>
      </c>
      <c r="E12" s="9" t="s">
        <v>33</v>
      </c>
      <c r="F12" s="9" t="s">
        <v>13</v>
      </c>
      <c r="G12" s="11"/>
    </row>
    <row r="13" customFormat="false" ht="15" hidden="false" customHeight="false" outlineLevel="0" collapsed="false">
      <c r="A13" s="8" t="s">
        <v>30</v>
      </c>
      <c r="B13" s="9" t="n">
        <v>2</v>
      </c>
      <c r="C13" s="10" t="s">
        <v>34</v>
      </c>
      <c r="D13" s="10" t="s">
        <v>35</v>
      </c>
      <c r="E13" s="9" t="s">
        <v>19</v>
      </c>
      <c r="F13" s="9" t="s">
        <v>13</v>
      </c>
      <c r="G13" s="11" t="n">
        <v>50</v>
      </c>
    </row>
    <row r="14" customFormat="false" ht="15" hidden="false" customHeight="false" outlineLevel="0" collapsed="false">
      <c r="A14" s="8" t="s">
        <v>30</v>
      </c>
      <c r="B14" s="9" t="n">
        <v>3</v>
      </c>
      <c r="C14" s="10" t="s">
        <v>36</v>
      </c>
      <c r="D14" s="10" t="s">
        <v>37</v>
      </c>
      <c r="E14" s="9" t="s">
        <v>38</v>
      </c>
      <c r="F14" s="9" t="s">
        <v>13</v>
      </c>
      <c r="G14" s="11" t="n">
        <v>20</v>
      </c>
    </row>
    <row r="15" customFormat="false" ht="15" hidden="false" customHeight="false" outlineLevel="0" collapsed="false">
      <c r="A15" s="8" t="s">
        <v>30</v>
      </c>
      <c r="B15" s="9" t="n">
        <v>4</v>
      </c>
      <c r="C15" s="10" t="s">
        <v>39</v>
      </c>
      <c r="D15" s="10" t="s">
        <v>40</v>
      </c>
      <c r="E15" s="9" t="s">
        <v>22</v>
      </c>
      <c r="F15" s="9" t="s">
        <v>13</v>
      </c>
      <c r="G15" s="11" t="n">
        <v>200</v>
      </c>
    </row>
    <row r="16" customFormat="false" ht="15" hidden="false" customHeight="false" outlineLevel="0" collapsed="false">
      <c r="A16" s="8" t="s">
        <v>30</v>
      </c>
      <c r="B16" s="9" t="n">
        <v>5</v>
      </c>
      <c r="C16" s="10" t="s">
        <v>41</v>
      </c>
      <c r="D16" s="10" t="s">
        <v>42</v>
      </c>
      <c r="E16" s="9" t="s">
        <v>25</v>
      </c>
      <c r="F16" s="9" t="s">
        <v>13</v>
      </c>
      <c r="G16" s="11"/>
    </row>
    <row r="17" customFormat="false" ht="15" hidden="false" customHeight="false" outlineLevel="0" collapsed="false">
      <c r="A17" s="8" t="s">
        <v>30</v>
      </c>
      <c r="B17" s="9" t="n">
        <v>6</v>
      </c>
      <c r="C17" s="10" t="s">
        <v>43</v>
      </c>
      <c r="D17" s="10" t="s">
        <v>44</v>
      </c>
      <c r="E17" s="9" t="s">
        <v>19</v>
      </c>
      <c r="F17" s="9" t="s">
        <v>13</v>
      </c>
      <c r="G17" s="11"/>
    </row>
    <row r="18" customFormat="false" ht="23.85" hidden="false" customHeight="false" outlineLevel="0" collapsed="false">
      <c r="A18" s="12" t="s">
        <v>45</v>
      </c>
      <c r="B18" s="13" t="n">
        <v>1</v>
      </c>
      <c r="C18" s="14" t="s">
        <v>46</v>
      </c>
      <c r="D18" s="14" t="s">
        <v>47</v>
      </c>
      <c r="E18" s="13" t="s">
        <v>48</v>
      </c>
      <c r="F18" s="13" t="s">
        <v>13</v>
      </c>
      <c r="G18" s="15"/>
    </row>
    <row r="19" customFormat="false" ht="15" hidden="false" customHeight="false" outlineLevel="0" collapsed="false">
      <c r="A19" s="12" t="s">
        <v>45</v>
      </c>
      <c r="B19" s="13" t="n">
        <v>2</v>
      </c>
      <c r="C19" s="14" t="s">
        <v>49</v>
      </c>
      <c r="D19" s="14" t="s">
        <v>50</v>
      </c>
      <c r="E19" s="13" t="s">
        <v>51</v>
      </c>
      <c r="F19" s="13" t="s">
        <v>13</v>
      </c>
      <c r="G19" s="15"/>
    </row>
    <row r="20" customFormat="false" ht="15" hidden="false" customHeight="false" outlineLevel="0" collapsed="false">
      <c r="A20" s="12" t="s">
        <v>45</v>
      </c>
      <c r="B20" s="13" t="n">
        <v>3</v>
      </c>
      <c r="C20" s="14" t="s">
        <v>52</v>
      </c>
      <c r="D20" s="14" t="s">
        <v>53</v>
      </c>
      <c r="E20" s="13" t="s">
        <v>54</v>
      </c>
      <c r="F20" s="13" t="s">
        <v>13</v>
      </c>
      <c r="G20" s="15" t="n">
        <v>60</v>
      </c>
    </row>
    <row r="21" customFormat="false" ht="15" hidden="false" customHeight="false" outlineLevel="0" collapsed="false">
      <c r="A21" s="12" t="s">
        <v>45</v>
      </c>
      <c r="B21" s="13" t="n">
        <v>4</v>
      </c>
      <c r="C21" s="14" t="s">
        <v>55</v>
      </c>
      <c r="D21" s="14" t="s">
        <v>56</v>
      </c>
      <c r="E21" s="13" t="s">
        <v>16</v>
      </c>
      <c r="F21" s="13" t="s">
        <v>13</v>
      </c>
      <c r="G21" s="15" t="n">
        <v>600</v>
      </c>
    </row>
    <row r="22" customFormat="false" ht="15" hidden="false" customHeight="false" outlineLevel="0" collapsed="false">
      <c r="A22" s="12" t="s">
        <v>45</v>
      </c>
      <c r="B22" s="13" t="n">
        <v>5</v>
      </c>
      <c r="C22" s="14" t="s">
        <v>57</v>
      </c>
      <c r="D22" s="14" t="s">
        <v>58</v>
      </c>
      <c r="E22" s="13" t="s">
        <v>59</v>
      </c>
      <c r="F22" s="13" t="s">
        <v>13</v>
      </c>
      <c r="G22" s="15"/>
    </row>
    <row r="23" customFormat="false" ht="15" hidden="false" customHeight="false" outlineLevel="0" collapsed="false">
      <c r="A23" s="12" t="s">
        <v>45</v>
      </c>
      <c r="B23" s="13" t="n">
        <v>6</v>
      </c>
      <c r="C23" s="14" t="s">
        <v>60</v>
      </c>
      <c r="D23" s="14" t="s">
        <v>61</v>
      </c>
      <c r="E23" s="13" t="s">
        <v>16</v>
      </c>
      <c r="F23" s="13" t="s">
        <v>13</v>
      </c>
      <c r="G23" s="15" t="n">
        <v>80</v>
      </c>
    </row>
    <row r="24" customFormat="false" ht="15" hidden="false" customHeight="false" outlineLevel="0" collapsed="false">
      <c r="A24" s="12" t="s">
        <v>45</v>
      </c>
      <c r="B24" s="13" t="n">
        <v>7</v>
      </c>
      <c r="C24" s="14" t="s">
        <v>62</v>
      </c>
      <c r="D24" s="14" t="s">
        <v>63</v>
      </c>
      <c r="E24" s="13" t="s">
        <v>22</v>
      </c>
      <c r="F24" s="13" t="s">
        <v>13</v>
      </c>
      <c r="G24" s="15" t="n">
        <v>50</v>
      </c>
    </row>
    <row r="25" customFormat="false" ht="15" hidden="false" customHeight="false" outlineLevel="0" collapsed="false">
      <c r="A25" s="12" t="s">
        <v>45</v>
      </c>
      <c r="B25" s="13" t="n">
        <v>8</v>
      </c>
      <c r="C25" s="14" t="s">
        <v>64</v>
      </c>
      <c r="D25" s="14" t="s">
        <v>65</v>
      </c>
      <c r="E25" s="13" t="s">
        <v>22</v>
      </c>
      <c r="F25" s="13" t="s">
        <v>13</v>
      </c>
      <c r="G25" s="15" t="n">
        <v>20</v>
      </c>
    </row>
    <row r="26" customFormat="false" ht="15" hidden="false" customHeight="false" outlineLevel="0" collapsed="false">
      <c r="A26" s="16" t="s">
        <v>66</v>
      </c>
      <c r="B26" s="17" t="n">
        <v>1</v>
      </c>
      <c r="C26" s="18" t="s">
        <v>67</v>
      </c>
      <c r="D26" s="18" t="s">
        <v>68</v>
      </c>
      <c r="E26" s="17" t="s">
        <v>69</v>
      </c>
      <c r="F26" s="17" t="s">
        <v>13</v>
      </c>
      <c r="G26" s="19"/>
    </row>
    <row r="27" customFormat="false" ht="15" hidden="false" customHeight="false" outlineLevel="0" collapsed="false">
      <c r="A27" s="16" t="s">
        <v>66</v>
      </c>
      <c r="B27" s="17" t="n">
        <v>2</v>
      </c>
      <c r="C27" s="18" t="s">
        <v>70</v>
      </c>
      <c r="D27" s="18" t="s">
        <v>71</v>
      </c>
      <c r="E27" s="17" t="s">
        <v>22</v>
      </c>
      <c r="F27" s="17" t="s">
        <v>13</v>
      </c>
      <c r="G27" s="19" t="n">
        <v>250</v>
      </c>
    </row>
    <row r="28" customFormat="false" ht="15" hidden="false" customHeight="false" outlineLevel="0" collapsed="false">
      <c r="A28" s="16" t="s">
        <v>66</v>
      </c>
      <c r="B28" s="17" t="n">
        <v>3</v>
      </c>
      <c r="C28" s="18" t="s">
        <v>72</v>
      </c>
      <c r="D28" s="18" t="s">
        <v>73</v>
      </c>
      <c r="E28" s="17" t="s">
        <v>22</v>
      </c>
      <c r="F28" s="17" t="s">
        <v>13</v>
      </c>
      <c r="G28" s="19" t="n">
        <v>100</v>
      </c>
    </row>
    <row r="29" customFormat="false" ht="15" hidden="false" customHeight="false" outlineLevel="0" collapsed="false">
      <c r="A29" s="16" t="s">
        <v>66</v>
      </c>
      <c r="B29" s="17" t="n">
        <v>4</v>
      </c>
      <c r="C29" s="18" t="s">
        <v>74</v>
      </c>
      <c r="D29" s="18" t="s">
        <v>75</v>
      </c>
      <c r="E29" s="17" t="s">
        <v>22</v>
      </c>
      <c r="F29" s="17" t="s">
        <v>13</v>
      </c>
      <c r="G29" s="19" t="n">
        <v>80</v>
      </c>
    </row>
    <row r="30" customFormat="false" ht="15" hidden="false" customHeight="false" outlineLevel="0" collapsed="false">
      <c r="A30" s="16" t="s">
        <v>66</v>
      </c>
      <c r="B30" s="17" t="n">
        <v>5</v>
      </c>
      <c r="C30" s="18" t="s">
        <v>76</v>
      </c>
      <c r="D30" s="18" t="s">
        <v>77</v>
      </c>
      <c r="E30" s="17" t="s">
        <v>22</v>
      </c>
      <c r="F30" s="17" t="s">
        <v>13</v>
      </c>
      <c r="G30" s="19" t="n">
        <v>40</v>
      </c>
    </row>
    <row r="31" customFormat="false" ht="15" hidden="false" customHeight="false" outlineLevel="0" collapsed="false">
      <c r="A31" s="16" t="s">
        <v>66</v>
      </c>
      <c r="B31" s="17" t="n">
        <v>6</v>
      </c>
      <c r="C31" s="18" t="s">
        <v>78</v>
      </c>
      <c r="D31" s="18" t="s">
        <v>79</v>
      </c>
      <c r="E31" s="17" t="s">
        <v>22</v>
      </c>
      <c r="F31" s="17" t="s">
        <v>13</v>
      </c>
      <c r="G31" s="19" t="n">
        <v>60</v>
      </c>
    </row>
    <row r="32" customFormat="false" ht="15" hidden="false" customHeight="false" outlineLevel="0" collapsed="false">
      <c r="A32" s="16" t="s">
        <v>66</v>
      </c>
      <c r="B32" s="17" t="n">
        <v>7</v>
      </c>
      <c r="C32" s="18" t="s">
        <v>80</v>
      </c>
      <c r="D32" s="18" t="s">
        <v>81</v>
      </c>
      <c r="E32" s="17" t="s">
        <v>59</v>
      </c>
      <c r="F32" s="17" t="s">
        <v>13</v>
      </c>
      <c r="G32" s="19" t="n">
        <v>10</v>
      </c>
    </row>
    <row r="33" customFormat="false" ht="15" hidden="false" customHeight="false" outlineLevel="0" collapsed="false">
      <c r="A33" s="16" t="s">
        <v>66</v>
      </c>
      <c r="B33" s="17" t="n">
        <v>8</v>
      </c>
      <c r="C33" s="18" t="s">
        <v>82</v>
      </c>
      <c r="D33" s="18" t="s">
        <v>83</v>
      </c>
      <c r="E33" s="17" t="s">
        <v>59</v>
      </c>
      <c r="F33" s="17" t="s">
        <v>13</v>
      </c>
      <c r="G33" s="19"/>
    </row>
    <row r="34" customFormat="false" ht="15" hidden="false" customHeight="false" outlineLevel="0" collapsed="false">
      <c r="A34" s="16" t="s">
        <v>66</v>
      </c>
      <c r="B34" s="17" t="n">
        <v>9</v>
      </c>
      <c r="C34" s="18" t="s">
        <v>84</v>
      </c>
      <c r="D34" s="18" t="s">
        <v>85</v>
      </c>
      <c r="E34" s="17" t="s">
        <v>59</v>
      </c>
      <c r="F34" s="17" t="s">
        <v>13</v>
      </c>
      <c r="G34" s="19" t="n">
        <v>30</v>
      </c>
    </row>
    <row r="35" customFormat="false" ht="15" hidden="false" customHeight="false" outlineLevel="0" collapsed="false">
      <c r="A35" s="20" t="s">
        <v>86</v>
      </c>
      <c r="B35" s="21" t="n">
        <v>1</v>
      </c>
      <c r="C35" s="22" t="s">
        <v>87</v>
      </c>
      <c r="D35" s="22" t="s">
        <v>88</v>
      </c>
      <c r="E35" s="21" t="s">
        <v>22</v>
      </c>
      <c r="F35" s="21" t="s">
        <v>13</v>
      </c>
      <c r="G35" s="23" t="n">
        <v>30</v>
      </c>
    </row>
    <row r="36" customFormat="false" ht="15" hidden="false" customHeight="false" outlineLevel="0" collapsed="false">
      <c r="A36" s="20" t="s">
        <v>86</v>
      </c>
      <c r="B36" s="21" t="n">
        <v>2</v>
      </c>
      <c r="C36" s="22" t="s">
        <v>89</v>
      </c>
      <c r="D36" s="22" t="s">
        <v>90</v>
      </c>
      <c r="E36" s="21" t="s">
        <v>91</v>
      </c>
      <c r="F36" s="21" t="s">
        <v>13</v>
      </c>
      <c r="G36" s="23" t="n">
        <v>100</v>
      </c>
    </row>
    <row r="37" customFormat="false" ht="15" hidden="false" customHeight="false" outlineLevel="0" collapsed="false">
      <c r="A37" s="20" t="s">
        <v>86</v>
      </c>
      <c r="B37" s="21" t="n">
        <v>3</v>
      </c>
      <c r="C37" s="22" t="s">
        <v>92</v>
      </c>
      <c r="D37" s="22" t="s">
        <v>93</v>
      </c>
      <c r="E37" s="21" t="s">
        <v>59</v>
      </c>
      <c r="F37" s="21" t="s">
        <v>13</v>
      </c>
      <c r="G37" s="23"/>
    </row>
    <row r="38" customFormat="false" ht="15" hidden="false" customHeight="false" outlineLevel="0" collapsed="false">
      <c r="A38" s="20" t="s">
        <v>86</v>
      </c>
      <c r="B38" s="21" t="n">
        <v>4</v>
      </c>
      <c r="C38" s="22" t="s">
        <v>94</v>
      </c>
      <c r="D38" s="22" t="s">
        <v>95</v>
      </c>
      <c r="E38" s="21" t="s">
        <v>59</v>
      </c>
      <c r="F38" s="21" t="s">
        <v>13</v>
      </c>
      <c r="G38" s="23" t="n">
        <v>5</v>
      </c>
    </row>
    <row r="39" customFormat="false" ht="15" hidden="false" customHeight="false" outlineLevel="0" collapsed="false">
      <c r="A39" s="20" t="s">
        <v>86</v>
      </c>
      <c r="B39" s="21" t="n">
        <v>5</v>
      </c>
      <c r="C39" s="22" t="s">
        <v>96</v>
      </c>
      <c r="D39" s="22" t="s">
        <v>97</v>
      </c>
      <c r="E39" s="21" t="s">
        <v>59</v>
      </c>
      <c r="F39" s="21" t="s">
        <v>13</v>
      </c>
      <c r="G39" s="23" t="n">
        <v>40</v>
      </c>
    </row>
    <row r="40" customFormat="false" ht="15" hidden="false" customHeight="false" outlineLevel="0" collapsed="false">
      <c r="A40" s="20" t="s">
        <v>86</v>
      </c>
      <c r="B40" s="21" t="n">
        <v>6</v>
      </c>
      <c r="C40" s="22" t="s">
        <v>98</v>
      </c>
      <c r="D40" s="22" t="s">
        <v>99</v>
      </c>
      <c r="E40" s="21" t="s">
        <v>22</v>
      </c>
      <c r="F40" s="21" t="s">
        <v>13</v>
      </c>
      <c r="G40" s="23" t="n">
        <v>15</v>
      </c>
    </row>
    <row r="41" customFormat="false" ht="15" hidden="false" customHeight="false" outlineLevel="0" collapsed="false">
      <c r="A41" s="24" t="s">
        <v>100</v>
      </c>
      <c r="B41" s="25" t="n">
        <v>1</v>
      </c>
      <c r="C41" s="26" t="s">
        <v>101</v>
      </c>
      <c r="D41" s="26" t="s">
        <v>102</v>
      </c>
      <c r="E41" s="25" t="s">
        <v>12</v>
      </c>
      <c r="F41" s="25" t="s">
        <v>13</v>
      </c>
      <c r="G41" s="27" t="n">
        <v>40</v>
      </c>
    </row>
    <row r="42" customFormat="false" ht="15" hidden="false" customHeight="false" outlineLevel="0" collapsed="false">
      <c r="A42" s="24" t="s">
        <v>100</v>
      </c>
      <c r="B42" s="25" t="n">
        <v>2</v>
      </c>
      <c r="C42" s="26" t="s">
        <v>103</v>
      </c>
      <c r="D42" s="26" t="s">
        <v>104</v>
      </c>
      <c r="E42" s="25" t="s">
        <v>16</v>
      </c>
      <c r="F42" s="25" t="s">
        <v>13</v>
      </c>
      <c r="G42" s="27" t="n">
        <v>60</v>
      </c>
    </row>
    <row r="43" customFormat="false" ht="15" hidden="false" customHeight="false" outlineLevel="0" collapsed="false">
      <c r="A43" s="24" t="s">
        <v>100</v>
      </c>
      <c r="B43" s="25" t="n">
        <v>3</v>
      </c>
      <c r="C43" s="26" t="s">
        <v>105</v>
      </c>
      <c r="D43" s="26" t="s">
        <v>106</v>
      </c>
      <c r="E43" s="25" t="s">
        <v>22</v>
      </c>
      <c r="F43" s="25" t="s">
        <v>13</v>
      </c>
      <c r="G43" s="27"/>
    </row>
    <row r="44" customFormat="false" ht="15" hidden="false" customHeight="false" outlineLevel="0" collapsed="false">
      <c r="A44" s="24" t="s">
        <v>100</v>
      </c>
      <c r="B44" s="25" t="n">
        <v>4</v>
      </c>
      <c r="C44" s="26" t="s">
        <v>107</v>
      </c>
      <c r="D44" s="26" t="s">
        <v>108</v>
      </c>
      <c r="E44" s="25" t="s">
        <v>22</v>
      </c>
      <c r="F44" s="25" t="s">
        <v>13</v>
      </c>
      <c r="G44" s="27"/>
    </row>
    <row r="45" customFormat="false" ht="15" hidden="false" customHeight="false" outlineLevel="0" collapsed="false">
      <c r="A45" s="24" t="s">
        <v>100</v>
      </c>
      <c r="B45" s="25" t="n">
        <v>5</v>
      </c>
      <c r="C45" s="26" t="s">
        <v>109</v>
      </c>
      <c r="D45" s="26" t="s">
        <v>110</v>
      </c>
      <c r="E45" s="25" t="s">
        <v>25</v>
      </c>
      <c r="F45" s="25" t="s">
        <v>13</v>
      </c>
      <c r="G45" s="27"/>
    </row>
    <row r="46" customFormat="false" ht="15" hidden="false" customHeight="false" outlineLevel="0" collapsed="false">
      <c r="A46" s="24" t="s">
        <v>100</v>
      </c>
      <c r="B46" s="25" t="n">
        <v>6</v>
      </c>
      <c r="C46" s="26" t="s">
        <v>111</v>
      </c>
      <c r="D46" s="26" t="s">
        <v>112</v>
      </c>
      <c r="E46" s="25" t="s">
        <v>51</v>
      </c>
      <c r="F46" s="25" t="s">
        <v>13</v>
      </c>
      <c r="G46" s="27"/>
    </row>
    <row r="47" customFormat="false" ht="15" hidden="false" customHeight="false" outlineLevel="0" collapsed="false">
      <c r="A47" s="24" t="s">
        <v>100</v>
      </c>
      <c r="B47" s="25" t="n">
        <v>7</v>
      </c>
      <c r="C47" s="26" t="s">
        <v>113</v>
      </c>
      <c r="D47" s="26" t="s">
        <v>114</v>
      </c>
      <c r="E47" s="25" t="s">
        <v>12</v>
      </c>
      <c r="F47" s="25" t="s">
        <v>13</v>
      </c>
      <c r="G47" s="27" t="n">
        <v>30</v>
      </c>
    </row>
    <row r="48" customFormat="false" ht="15" hidden="false" customHeight="false" outlineLevel="0" collapsed="false">
      <c r="A48" s="28" t="s">
        <v>115</v>
      </c>
      <c r="B48" s="29" t="n">
        <v>1</v>
      </c>
      <c r="C48" s="30" t="s">
        <v>116</v>
      </c>
      <c r="D48" s="30" t="s">
        <v>117</v>
      </c>
      <c r="E48" s="29" t="s">
        <v>69</v>
      </c>
      <c r="F48" s="29" t="s">
        <v>13</v>
      </c>
      <c r="G48" s="31"/>
    </row>
    <row r="49" customFormat="false" ht="15" hidden="false" customHeight="false" outlineLevel="0" collapsed="false">
      <c r="A49" s="28" t="s">
        <v>115</v>
      </c>
      <c r="B49" s="29" t="n">
        <v>2</v>
      </c>
      <c r="C49" s="30" t="s">
        <v>118</v>
      </c>
      <c r="D49" s="30" t="s">
        <v>119</v>
      </c>
      <c r="E49" s="29" t="s">
        <v>12</v>
      </c>
      <c r="F49" s="29" t="s">
        <v>13</v>
      </c>
      <c r="G49" s="31"/>
    </row>
    <row r="50" customFormat="false" ht="15" hidden="false" customHeight="false" outlineLevel="0" collapsed="false">
      <c r="A50" s="28" t="s">
        <v>115</v>
      </c>
      <c r="B50" s="29" t="n">
        <v>3</v>
      </c>
      <c r="C50" s="30" t="s">
        <v>120</v>
      </c>
      <c r="D50" s="30" t="s">
        <v>121</v>
      </c>
      <c r="E50" s="29" t="s">
        <v>22</v>
      </c>
      <c r="F50" s="29" t="s">
        <v>13</v>
      </c>
      <c r="G50" s="31" t="n">
        <v>50</v>
      </c>
    </row>
    <row r="51" customFormat="false" ht="15" hidden="false" customHeight="false" outlineLevel="0" collapsed="false">
      <c r="A51" s="28" t="s">
        <v>115</v>
      </c>
      <c r="B51" s="29" t="n">
        <v>4</v>
      </c>
      <c r="C51" s="30" t="s">
        <v>122</v>
      </c>
      <c r="D51" s="30" t="s">
        <v>123</v>
      </c>
      <c r="E51" s="29" t="s">
        <v>12</v>
      </c>
      <c r="F51" s="29" t="s">
        <v>13</v>
      </c>
      <c r="G51" s="31" t="n">
        <v>120</v>
      </c>
    </row>
    <row r="52" customFormat="false" ht="15" hidden="false" customHeight="false" outlineLevel="0" collapsed="false">
      <c r="A52" s="28" t="s">
        <v>115</v>
      </c>
      <c r="B52" s="29" t="n">
        <v>5</v>
      </c>
      <c r="C52" s="30" t="s">
        <v>124</v>
      </c>
      <c r="D52" s="30" t="s">
        <v>125</v>
      </c>
      <c r="E52" s="29" t="s">
        <v>69</v>
      </c>
      <c r="F52" s="29" t="s">
        <v>13</v>
      </c>
      <c r="G52" s="31"/>
    </row>
    <row r="53" customFormat="false" ht="15" hidden="false" customHeight="false" outlineLevel="0" collapsed="false">
      <c r="A53" s="28" t="s">
        <v>115</v>
      </c>
      <c r="B53" s="29" t="n">
        <v>6</v>
      </c>
      <c r="C53" s="30" t="s">
        <v>126</v>
      </c>
      <c r="D53" s="30" t="s">
        <v>127</v>
      </c>
      <c r="E53" s="29" t="s">
        <v>48</v>
      </c>
      <c r="F53" s="29" t="s">
        <v>13</v>
      </c>
      <c r="G53" s="31" t="n">
        <v>250</v>
      </c>
    </row>
    <row r="54" customFormat="false" ht="15" hidden="false" customHeight="false" outlineLevel="0" collapsed="false">
      <c r="A54" s="28" t="s">
        <v>115</v>
      </c>
      <c r="B54" s="29" t="n">
        <v>7</v>
      </c>
      <c r="C54" s="30" t="s">
        <v>128</v>
      </c>
      <c r="D54" s="30" t="s">
        <v>129</v>
      </c>
      <c r="E54" s="29" t="s">
        <v>59</v>
      </c>
      <c r="F54" s="29" t="s">
        <v>13</v>
      </c>
      <c r="G54" s="31"/>
    </row>
    <row r="55" customFormat="false" ht="15" hidden="false" customHeight="false" outlineLevel="0" collapsed="false">
      <c r="A55" s="32" t="s">
        <v>130</v>
      </c>
      <c r="B55" s="33" t="n">
        <v>1</v>
      </c>
      <c r="C55" s="34" t="s">
        <v>131</v>
      </c>
      <c r="D55" s="34" t="s">
        <v>132</v>
      </c>
      <c r="E55" s="33" t="s">
        <v>59</v>
      </c>
      <c r="F55" s="33" t="s">
        <v>13</v>
      </c>
      <c r="G55" s="35"/>
    </row>
    <row r="56" customFormat="false" ht="15" hidden="false" customHeight="false" outlineLevel="0" collapsed="false">
      <c r="A56" s="32" t="s">
        <v>130</v>
      </c>
      <c r="B56" s="33" t="n">
        <v>2</v>
      </c>
      <c r="C56" s="34" t="s">
        <v>133</v>
      </c>
      <c r="D56" s="34" t="s">
        <v>134</v>
      </c>
      <c r="E56" s="33" t="s">
        <v>59</v>
      </c>
      <c r="F56" s="33" t="s">
        <v>13</v>
      </c>
      <c r="G56" s="35" t="n">
        <v>10</v>
      </c>
    </row>
    <row r="57" customFormat="false" ht="15" hidden="false" customHeight="false" outlineLevel="0" collapsed="false">
      <c r="A57" s="32" t="s">
        <v>130</v>
      </c>
      <c r="B57" s="33" t="n">
        <v>3</v>
      </c>
      <c r="C57" s="34" t="s">
        <v>135</v>
      </c>
      <c r="D57" s="34" t="s">
        <v>136</v>
      </c>
      <c r="E57" s="33" t="s">
        <v>59</v>
      </c>
      <c r="F57" s="33" t="s">
        <v>13</v>
      </c>
      <c r="G57" s="35"/>
    </row>
    <row r="58" customFormat="false" ht="15" hidden="false" customHeight="false" outlineLevel="0" collapsed="false">
      <c r="A58" s="32" t="s">
        <v>130</v>
      </c>
      <c r="B58" s="33" t="n">
        <v>4</v>
      </c>
      <c r="C58" s="34" t="s">
        <v>137</v>
      </c>
      <c r="D58" s="34" t="s">
        <v>138</v>
      </c>
      <c r="E58" s="33" t="s">
        <v>59</v>
      </c>
      <c r="F58" s="33" t="s">
        <v>13</v>
      </c>
      <c r="G58" s="35" t="n">
        <v>25</v>
      </c>
    </row>
    <row r="59" customFormat="false" ht="15" hidden="false" customHeight="false" outlineLevel="0" collapsed="false">
      <c r="A59" s="32" t="s">
        <v>130</v>
      </c>
      <c r="B59" s="33" t="n">
        <v>5</v>
      </c>
      <c r="C59" s="34" t="s">
        <v>139</v>
      </c>
      <c r="D59" s="34" t="s">
        <v>140</v>
      </c>
      <c r="E59" s="33" t="s">
        <v>59</v>
      </c>
      <c r="F59" s="33" t="s">
        <v>13</v>
      </c>
      <c r="G59" s="35" t="n">
        <v>20</v>
      </c>
    </row>
    <row r="60" customFormat="false" ht="23.85" hidden="false" customHeight="false" outlineLevel="0" collapsed="false">
      <c r="A60" s="32" t="s">
        <v>130</v>
      </c>
      <c r="B60" s="33" t="n">
        <v>6</v>
      </c>
      <c r="C60" s="34" t="s">
        <v>141</v>
      </c>
      <c r="D60" s="34" t="s">
        <v>142</v>
      </c>
      <c r="E60" s="33" t="s">
        <v>59</v>
      </c>
      <c r="F60" s="33" t="s">
        <v>13</v>
      </c>
      <c r="G60" s="35" t="n">
        <v>20</v>
      </c>
    </row>
    <row r="61" customFormat="false" ht="15" hidden="false" customHeight="false" outlineLevel="0" collapsed="false">
      <c r="A61" s="32" t="s">
        <v>130</v>
      </c>
      <c r="B61" s="33" t="n">
        <v>7</v>
      </c>
      <c r="C61" s="34" t="s">
        <v>143</v>
      </c>
      <c r="D61" s="34" t="s">
        <v>144</v>
      </c>
      <c r="E61" s="33" t="s">
        <v>91</v>
      </c>
      <c r="F61" s="33" t="s">
        <v>13</v>
      </c>
      <c r="G61" s="35" t="n">
        <v>15</v>
      </c>
    </row>
    <row r="62" customFormat="false" ht="15" hidden="false" customHeight="false" outlineLevel="0" collapsed="false">
      <c r="A62" s="36" t="s">
        <v>145</v>
      </c>
      <c r="B62" s="37" t="n">
        <v>1</v>
      </c>
      <c r="C62" s="38" t="s">
        <v>146</v>
      </c>
      <c r="D62" s="38" t="s">
        <v>147</v>
      </c>
      <c r="E62" s="37" t="s">
        <v>148</v>
      </c>
      <c r="F62" s="37" t="s">
        <v>13</v>
      </c>
      <c r="G62" s="39"/>
    </row>
    <row r="63" customFormat="false" ht="15" hidden="false" customHeight="false" outlineLevel="0" collapsed="false">
      <c r="A63" s="36" t="s">
        <v>145</v>
      </c>
      <c r="B63" s="37" t="n">
        <v>2</v>
      </c>
      <c r="C63" s="38" t="s">
        <v>149</v>
      </c>
      <c r="D63" s="38" t="s">
        <v>150</v>
      </c>
      <c r="E63" s="37" t="s">
        <v>151</v>
      </c>
      <c r="F63" s="37" t="s">
        <v>13</v>
      </c>
      <c r="G63" s="39"/>
    </row>
    <row r="64" customFormat="false" ht="15" hidden="false" customHeight="false" outlineLevel="0" collapsed="false">
      <c r="A64" s="36" t="s">
        <v>145</v>
      </c>
      <c r="B64" s="37" t="n">
        <v>3</v>
      </c>
      <c r="C64" s="38" t="s">
        <v>152</v>
      </c>
      <c r="D64" s="38" t="s">
        <v>153</v>
      </c>
      <c r="E64" s="37" t="s">
        <v>154</v>
      </c>
      <c r="F64" s="37" t="s">
        <v>13</v>
      </c>
      <c r="G64" s="39"/>
    </row>
    <row r="65" customFormat="false" ht="15" hidden="false" customHeight="false" outlineLevel="0" collapsed="false">
      <c r="A65" s="36" t="s">
        <v>145</v>
      </c>
      <c r="B65" s="37" t="n">
        <v>4</v>
      </c>
      <c r="C65" s="38" t="s">
        <v>155</v>
      </c>
      <c r="D65" s="38" t="s">
        <v>156</v>
      </c>
      <c r="E65" s="37" t="s">
        <v>154</v>
      </c>
      <c r="F65" s="37" t="s">
        <v>13</v>
      </c>
      <c r="G65" s="39"/>
    </row>
    <row r="66" customFormat="false" ht="15" hidden="false" customHeight="false" outlineLevel="0" collapsed="false">
      <c r="A66" s="36" t="s">
        <v>145</v>
      </c>
      <c r="B66" s="37" t="n">
        <v>5</v>
      </c>
      <c r="C66" s="38" t="s">
        <v>157</v>
      </c>
      <c r="D66" s="38" t="s">
        <v>158</v>
      </c>
      <c r="E66" s="37" t="s">
        <v>159</v>
      </c>
      <c r="F66" s="37" t="s">
        <v>13</v>
      </c>
      <c r="G66" s="39"/>
    </row>
    <row r="68" customFormat="false" ht="15" hidden="false" customHeight="false" outlineLevel="0" collapsed="false">
      <c r="F68" s="40" t="s">
        <v>160</v>
      </c>
      <c r="G68" s="41" t="n">
        <f aca="false">SUM(G5:G66)</f>
        <v>2930</v>
      </c>
    </row>
    <row r="70" customFormat="false" ht="15" hidden="false" customHeight="false" outlineLevel="0" collapsed="false">
      <c r="C70" s="42" t="s">
        <v>161</v>
      </c>
      <c r="D70" s="43" t="str">
        <f aca="false">COUNTIF(F5:F66,"Done")&amp;" of "&amp;COUNTA(F5:F66)&amp;" done"</f>
        <v>0 of 62 done</v>
      </c>
    </row>
  </sheetData>
  <mergeCells count="2">
    <mergeCell ref="A1:G1"/>
    <mergeCell ref="A2:G2"/>
  </mergeCells>
  <conditionalFormatting sqref="F5:F66">
    <cfRule type="cellIs" priority="2" operator="equal" aboveAverage="0" equalAverage="0" bottom="0" percent="0" rank="0" text="" dxfId="0">
      <formula>"Done"</formula>
    </cfRule>
    <cfRule type="cellIs" priority="3" operator="equal" aboveAverage="0" equalAverage="0" bottom="0" percent="0" rank="0" text="" dxfId="1">
      <formula>"In progress"</formula>
    </cfRule>
    <cfRule type="cellIs" priority="4" operator="equal" aboveAverage="0" equalAverage="0" bottom="0" percent="0" rank="0" text="" dxfId="2">
      <formula>"Blocked"</formula>
    </cfRule>
  </conditionalFormatting>
  <dataValidations count="1">
    <dataValidation allowBlank="true" errorStyle="stop" operator="between" showDropDown="false" showErrorMessage="false" showInputMessage="false" sqref="F5:F66" type="list">
      <formula1>"Not started,In progress,Blocked,Done"</formula1>
      <formula2>0</formula2>
    </dataValidation>
  </dataValidations>
  <printOptions headings="false" gridLines="false" gridLinesSet="true" horizontalCentered="false" verticalCentered="false"/>
  <pageMargins left="0.4" right="0.4" top="0.5" bottom="0.5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2026-04-28T13:27:47Z</dcterms:created>
  <dc:creator>openpyxl</dc:creator>
  <dc:description/>
  <dc:language>en-US</dc:language>
  <cp:lastModifiedBy/>
  <dcterms:modified xsi:type="dcterms:W3CDTF">2026-04-28T13:27:47Z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